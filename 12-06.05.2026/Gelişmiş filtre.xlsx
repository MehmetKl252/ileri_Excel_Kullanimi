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E3D066D-326D-47FA-A154-81E23C1FD441}" xr6:coauthVersionLast="47" xr6:coauthVersionMax="47" xr10:uidLastSave="{00000000-0000-0000-0000-000000000000}"/>
  <bookViews>
    <workbookView xWindow="-120" yWindow="-120" windowWidth="24240" windowHeight="13140" xr2:uid="{0306E714-F990-433E-A8BB-9C35EDE5299D}"/>
  </bookViews>
  <sheets>
    <sheet name="Sayfa1" sheetId="1" r:id="rId1"/>
  </sheets>
  <definedNames>
    <definedName name="_xlnm._FilterDatabase" localSheetId="0" hidden="1">Sayfa1!$A$2:$H$22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</calcChain>
</file>

<file path=xl/sharedStrings.xml><?xml version="1.0" encoding="utf-8"?>
<sst xmlns="http://schemas.openxmlformats.org/spreadsheetml/2006/main" count="104" uniqueCount="41">
  <si>
    <t>ctrl+shift+L</t>
  </si>
  <si>
    <t>gün</t>
  </si>
  <si>
    <t>Ay</t>
  </si>
  <si>
    <t>Tarih</t>
  </si>
  <si>
    <t>Firma</t>
  </si>
  <si>
    <t>Ülke</t>
  </si>
  <si>
    <t>Temsilci</t>
  </si>
  <si>
    <t>Ürünler</t>
  </si>
  <si>
    <t>Tutar</t>
  </si>
  <si>
    <t>Başlangıç Tarihi</t>
  </si>
  <si>
    <t>Evteks</t>
  </si>
  <si>
    <t>Almanya</t>
  </si>
  <si>
    <t>Mustafa</t>
  </si>
  <si>
    <t>Havlu 5.000 Adet</t>
  </si>
  <si>
    <t>Bitiş Tarihi</t>
  </si>
  <si>
    <t>&lt;=01.05.2023</t>
  </si>
  <si>
    <t>*evteks*</t>
  </si>
  <si>
    <t>*Gamze*</t>
  </si>
  <si>
    <t>Karsan</t>
  </si>
  <si>
    <t>Bornoz 45 Takım</t>
  </si>
  <si>
    <t>soru: yukarıdaki tarihler arasında filtreleme yapınız</t>
  </si>
  <si>
    <t>Denkim</t>
  </si>
  <si>
    <t>Rusya</t>
  </si>
  <si>
    <t>El Havlusu</t>
  </si>
  <si>
    <t>Benner</t>
  </si>
  <si>
    <t>Bornoz 50 Takım</t>
  </si>
  <si>
    <t>*havlu*</t>
  </si>
  <si>
    <t>Gamze</t>
  </si>
  <si>
    <t>Çocuk Giysisi</t>
  </si>
  <si>
    <t>Havlu 45 adet</t>
  </si>
  <si>
    <t>ERDA</t>
  </si>
  <si>
    <t>Eda</t>
  </si>
  <si>
    <t>Bornoz</t>
  </si>
  <si>
    <t>DENDEX</t>
  </si>
  <si>
    <t>İspanya</t>
  </si>
  <si>
    <t>Nakışlı Havlu</t>
  </si>
  <si>
    <t>XCV Text</t>
  </si>
  <si>
    <t>Fransa</t>
  </si>
  <si>
    <t>Plaj Havlusu</t>
  </si>
  <si>
    <t>&gt;=01.05.2023</t>
  </si>
  <si>
    <t>&lt;=01.06.2023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</si>
</sst>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_-* #,##0\ _T_L_-;\-* #,##0\ _T_L_-;_-* &quot;-&quot;??\ _T_L_-;_-@_-"/>
    <numFmt numFmtId="166" formatCode="_-* #,##0.00\ _T_L_-;\-* #,##0.00\ _T_L_-;_-* &quot;-&quot;??\ _T_L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2" applyNumberFormat="1" applyFont="1"/>
    <xf numFmtId="0" fontId="3" fillId="2" borderId="0" xfId="0" applyFont="1" applyFill="1"/>
    <xf numFmtId="14" fontId="3" fillId="2" borderId="0" xfId="0" applyNumberFormat="1" applyFont="1" applyFill="1"/>
    <xf numFmtId="164" fontId="3" fillId="2" borderId="0" xfId="2" applyNumberFormat="1" applyFont="1" applyFill="1" applyBorder="1"/>
    <xf numFmtId="14" fontId="4" fillId="0" borderId="0" xfId="0" applyNumberFormat="1" applyFont="1"/>
    <xf numFmtId="0" fontId="4" fillId="0" borderId="0" xfId="0" applyFont="1"/>
    <xf numFmtId="164" fontId="4" fillId="0" borderId="0" xfId="2" applyNumberFormat="1" applyFont="1" applyFill="1" applyBorder="1"/>
    <xf numFmtId="165" fontId="0" fillId="0" borderId="0" xfId="0" applyNumberFormat="1"/>
    <xf numFmtId="0" fontId="2" fillId="3" borderId="0" xfId="0" applyFont="1" applyFill="1"/>
    <xf numFmtId="164" fontId="0" fillId="0" borderId="0" xfId="2" applyNumberFormat="1" applyFont="1" applyFill="1" applyBorder="1"/>
    <xf numFmtId="0" fontId="0" fillId="0" borderId="0" xfId="0" applyAlignment="1">
      <alignment horizontal="right"/>
    </xf>
    <xf numFmtId="44" fontId="2" fillId="0" borderId="0" xfId="2" applyFont="1"/>
    <xf numFmtId="166" fontId="0" fillId="0" borderId="0" xfId="1" applyFon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5131-E9D4-49FD-B9BE-696DB9E24B8B}">
  <sheetPr>
    <pageSetUpPr fitToPage="1"/>
  </sheetPr>
  <dimension ref="A1:Q23"/>
  <sheetViews>
    <sheetView tabSelected="1" zoomScale="115" zoomScaleNormal="115" workbookViewId="0">
      <selection activeCell="P4" sqref="P4"/>
    </sheetView>
  </sheetViews>
  <sheetFormatPr defaultRowHeight="15" x14ac:dyDescent="0.25"/>
  <cols>
    <col min="1" max="1" width="4.7109375" bestFit="1" customWidth="1"/>
    <col min="2" max="2" width="3.5703125" bestFit="1" customWidth="1"/>
    <col min="3" max="3" width="10.85546875" style="1" bestFit="1" customWidth="1"/>
    <col min="4" max="4" width="8.85546875" bestFit="1" customWidth="1"/>
    <col min="5" max="5" width="8.7109375" bestFit="1" customWidth="1"/>
    <col min="6" max="6" width="11" bestFit="1" customWidth="1"/>
    <col min="7" max="7" width="15.85546875" bestFit="1" customWidth="1"/>
    <col min="8" max="8" width="13.42578125" style="2" bestFit="1" customWidth="1"/>
    <col min="9" max="9" width="4.5703125" customWidth="1"/>
    <col min="10" max="10" width="19.140625" customWidth="1"/>
    <col min="11" max="11" width="13.42578125" bestFit="1" customWidth="1"/>
    <col min="12" max="12" width="14" bestFit="1" customWidth="1"/>
    <col min="13" max="13" width="14.5703125" customWidth="1"/>
    <col min="15" max="15" width="5.28515625" customWidth="1"/>
  </cols>
  <sheetData>
    <row r="1" spans="1:17" x14ac:dyDescent="0.25">
      <c r="G1" t="s">
        <v>0</v>
      </c>
    </row>
    <row r="2" spans="1:17" ht="15.75" x14ac:dyDescent="0.25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5" t="s">
        <v>8</v>
      </c>
      <c r="J2" s="3" t="s">
        <v>9</v>
      </c>
      <c r="K2" s="1">
        <v>45078</v>
      </c>
      <c r="M2" s="4" t="s">
        <v>3</v>
      </c>
      <c r="N2" s="3" t="s">
        <v>4</v>
      </c>
      <c r="P2" s="4" t="s">
        <v>3</v>
      </c>
      <c r="Q2" s="3" t="s">
        <v>6</v>
      </c>
    </row>
    <row r="3" spans="1:17" ht="15.75" x14ac:dyDescent="0.25">
      <c r="A3">
        <f>DAY(C3)</f>
        <v>6</v>
      </c>
      <c r="B3">
        <f>MONTH(C3)</f>
        <v>3</v>
      </c>
      <c r="C3" s="6">
        <v>44991</v>
      </c>
      <c r="D3" s="7" t="s">
        <v>10</v>
      </c>
      <c r="E3" s="7" t="s">
        <v>11</v>
      </c>
      <c r="F3" s="7" t="s">
        <v>12</v>
      </c>
      <c r="G3" s="7" t="s">
        <v>13</v>
      </c>
      <c r="H3" s="8">
        <v>65000</v>
      </c>
      <c r="I3" s="9"/>
      <c r="J3" s="3" t="s">
        <v>14</v>
      </c>
      <c r="K3" s="1">
        <v>45108</v>
      </c>
      <c r="M3" t="s">
        <v>15</v>
      </c>
      <c r="N3" t="s">
        <v>16</v>
      </c>
      <c r="P3" t="s">
        <v>40</v>
      </c>
      <c r="Q3" t="s">
        <v>17</v>
      </c>
    </row>
    <row r="4" spans="1:17" x14ac:dyDescent="0.25">
      <c r="A4">
        <f t="shared" ref="A4:A22" si="0">DAY(C4)</f>
        <v>10</v>
      </c>
      <c r="B4">
        <f t="shared" ref="B4:B22" si="1">MONTH(C4)</f>
        <v>3</v>
      </c>
      <c r="C4" s="6">
        <v>44995</v>
      </c>
      <c r="D4" s="7" t="s">
        <v>18</v>
      </c>
      <c r="E4" s="7" t="s">
        <v>11</v>
      </c>
      <c r="F4" s="7" t="s">
        <v>12</v>
      </c>
      <c r="G4" s="7" t="s">
        <v>19</v>
      </c>
      <c r="H4" s="8">
        <v>8400</v>
      </c>
      <c r="I4" s="9"/>
      <c r="J4" s="10" t="s">
        <v>20</v>
      </c>
    </row>
    <row r="5" spans="1:17" x14ac:dyDescent="0.25">
      <c r="A5">
        <f t="shared" si="0"/>
        <v>14</v>
      </c>
      <c r="B5">
        <f t="shared" si="1"/>
        <v>3</v>
      </c>
      <c r="C5" s="6">
        <v>44999</v>
      </c>
      <c r="D5" s="7" t="s">
        <v>21</v>
      </c>
      <c r="E5" s="7" t="s">
        <v>22</v>
      </c>
      <c r="F5" s="7" t="s">
        <v>12</v>
      </c>
      <c r="G5" s="7" t="s">
        <v>23</v>
      </c>
      <c r="H5" s="8">
        <v>56000</v>
      </c>
      <c r="I5" s="9"/>
    </row>
    <row r="6" spans="1:17" ht="15.75" x14ac:dyDescent="0.25">
      <c r="A6">
        <f t="shared" si="0"/>
        <v>22</v>
      </c>
      <c r="B6">
        <f t="shared" si="1"/>
        <v>3</v>
      </c>
      <c r="C6" s="1">
        <v>45007</v>
      </c>
      <c r="D6" t="s">
        <v>24</v>
      </c>
      <c r="E6" t="s">
        <v>11</v>
      </c>
      <c r="F6" t="s">
        <v>12</v>
      </c>
      <c r="G6" t="s">
        <v>25</v>
      </c>
      <c r="H6" s="11">
        <v>4000</v>
      </c>
      <c r="I6" s="9"/>
      <c r="J6" s="12"/>
      <c r="K6" s="13"/>
      <c r="M6" s="4" t="s">
        <v>3</v>
      </c>
      <c r="N6" s="3" t="s">
        <v>7</v>
      </c>
    </row>
    <row r="7" spans="1:17" x14ac:dyDescent="0.25">
      <c r="A7">
        <f t="shared" si="0"/>
        <v>30</v>
      </c>
      <c r="B7">
        <f t="shared" si="1"/>
        <v>3</v>
      </c>
      <c r="C7" s="6">
        <v>45015</v>
      </c>
      <c r="D7" s="7" t="s">
        <v>10</v>
      </c>
      <c r="E7" s="7" t="s">
        <v>11</v>
      </c>
      <c r="F7" s="7" t="s">
        <v>12</v>
      </c>
      <c r="G7" s="7" t="s">
        <v>19</v>
      </c>
      <c r="H7" s="8">
        <v>55000</v>
      </c>
      <c r="I7" s="9"/>
      <c r="J7" s="12"/>
      <c r="K7" s="13"/>
      <c r="M7" t="s">
        <v>39</v>
      </c>
      <c r="N7" t="s">
        <v>26</v>
      </c>
    </row>
    <row r="8" spans="1:17" x14ac:dyDescent="0.25">
      <c r="A8">
        <f t="shared" si="0"/>
        <v>3</v>
      </c>
      <c r="B8">
        <f t="shared" si="1"/>
        <v>4</v>
      </c>
      <c r="C8" s="1">
        <v>45019</v>
      </c>
      <c r="D8" t="s">
        <v>24</v>
      </c>
      <c r="E8" t="s">
        <v>11</v>
      </c>
      <c r="F8" t="s">
        <v>27</v>
      </c>
      <c r="G8" t="s">
        <v>28</v>
      </c>
      <c r="H8" s="11">
        <v>25000</v>
      </c>
      <c r="I8" s="9"/>
      <c r="J8" s="12"/>
      <c r="K8" s="13"/>
      <c r="L8" s="14"/>
    </row>
    <row r="9" spans="1:17" x14ac:dyDescent="0.25">
      <c r="A9">
        <f t="shared" si="0"/>
        <v>7</v>
      </c>
      <c r="B9">
        <f t="shared" si="1"/>
        <v>4</v>
      </c>
      <c r="C9" s="1">
        <v>45023</v>
      </c>
      <c r="D9" t="s">
        <v>24</v>
      </c>
      <c r="E9" t="s">
        <v>11</v>
      </c>
      <c r="F9" t="s">
        <v>12</v>
      </c>
      <c r="G9" t="s">
        <v>28</v>
      </c>
      <c r="H9" s="11">
        <v>25000</v>
      </c>
      <c r="I9" s="9"/>
      <c r="J9" s="12"/>
      <c r="K9" s="13"/>
      <c r="L9" s="14"/>
    </row>
    <row r="10" spans="1:17" x14ac:dyDescent="0.25">
      <c r="A10">
        <f t="shared" si="0"/>
        <v>11</v>
      </c>
      <c r="B10">
        <f t="shared" si="1"/>
        <v>4</v>
      </c>
      <c r="C10" s="1">
        <v>45027</v>
      </c>
      <c r="D10" t="s">
        <v>24</v>
      </c>
      <c r="E10" t="s">
        <v>11</v>
      </c>
      <c r="F10" t="s">
        <v>27</v>
      </c>
      <c r="G10" t="s">
        <v>29</v>
      </c>
      <c r="H10" s="11">
        <v>5000</v>
      </c>
      <c r="I10" s="9"/>
      <c r="J10" s="12"/>
      <c r="K10" s="13"/>
      <c r="L10" s="14"/>
    </row>
    <row r="11" spans="1:17" x14ac:dyDescent="0.25">
      <c r="A11">
        <f t="shared" si="0"/>
        <v>15</v>
      </c>
      <c r="B11">
        <f t="shared" si="1"/>
        <v>4</v>
      </c>
      <c r="C11" s="6">
        <v>45031</v>
      </c>
      <c r="D11" s="7" t="s">
        <v>10</v>
      </c>
      <c r="E11" s="7" t="s">
        <v>11</v>
      </c>
      <c r="F11" s="7" t="s">
        <v>12</v>
      </c>
      <c r="G11" s="7" t="s">
        <v>28</v>
      </c>
      <c r="H11" s="8">
        <v>25000</v>
      </c>
      <c r="I11" s="9"/>
      <c r="K11" s="13"/>
      <c r="L11" s="14"/>
    </row>
    <row r="12" spans="1:17" x14ac:dyDescent="0.25">
      <c r="A12">
        <f t="shared" si="0"/>
        <v>19</v>
      </c>
      <c r="B12">
        <f t="shared" si="1"/>
        <v>4</v>
      </c>
      <c r="C12" s="1">
        <v>45035</v>
      </c>
      <c r="D12" t="s">
        <v>24</v>
      </c>
      <c r="E12" t="s">
        <v>11</v>
      </c>
      <c r="F12" t="s">
        <v>12</v>
      </c>
      <c r="G12" t="s">
        <v>28</v>
      </c>
      <c r="H12" s="11">
        <v>25000</v>
      </c>
      <c r="I12" s="9"/>
      <c r="K12" s="13"/>
    </row>
    <row r="13" spans="1:17" x14ac:dyDescent="0.25">
      <c r="A13">
        <f t="shared" si="0"/>
        <v>23</v>
      </c>
      <c r="B13">
        <f t="shared" si="1"/>
        <v>4</v>
      </c>
      <c r="C13" s="6">
        <v>45039</v>
      </c>
      <c r="D13" s="7" t="s">
        <v>10</v>
      </c>
      <c r="E13" s="7" t="s">
        <v>11</v>
      </c>
      <c r="F13" s="7" t="s">
        <v>27</v>
      </c>
      <c r="G13" s="7" t="s">
        <v>29</v>
      </c>
      <c r="H13" s="8">
        <v>5000</v>
      </c>
      <c r="I13" s="9"/>
    </row>
    <row r="14" spans="1:17" x14ac:dyDescent="0.25">
      <c r="A14">
        <f t="shared" si="0"/>
        <v>27</v>
      </c>
      <c r="B14">
        <f t="shared" si="1"/>
        <v>4</v>
      </c>
      <c r="C14" s="1">
        <v>45043</v>
      </c>
      <c r="D14" t="s">
        <v>30</v>
      </c>
      <c r="E14" t="s">
        <v>22</v>
      </c>
      <c r="F14" t="s">
        <v>31</v>
      </c>
      <c r="G14" t="s">
        <v>32</v>
      </c>
      <c r="H14" s="11">
        <v>63000</v>
      </c>
      <c r="I14" s="9"/>
    </row>
    <row r="15" spans="1:17" x14ac:dyDescent="0.25">
      <c r="A15">
        <f t="shared" si="0"/>
        <v>29</v>
      </c>
      <c r="B15">
        <f t="shared" si="1"/>
        <v>5</v>
      </c>
      <c r="C15" s="1">
        <v>45075</v>
      </c>
      <c r="D15" t="s">
        <v>33</v>
      </c>
      <c r="E15" t="s">
        <v>34</v>
      </c>
      <c r="F15" t="s">
        <v>27</v>
      </c>
      <c r="G15" t="s">
        <v>35</v>
      </c>
      <c r="H15" s="11">
        <v>14700</v>
      </c>
      <c r="I15" s="9"/>
    </row>
    <row r="16" spans="1:17" x14ac:dyDescent="0.25">
      <c r="A16">
        <f t="shared" si="0"/>
        <v>2</v>
      </c>
      <c r="B16">
        <f t="shared" si="1"/>
        <v>6</v>
      </c>
      <c r="C16" s="1">
        <v>45079</v>
      </c>
      <c r="D16" t="s">
        <v>36</v>
      </c>
      <c r="E16" t="s">
        <v>37</v>
      </c>
      <c r="F16" t="s">
        <v>27</v>
      </c>
      <c r="G16" t="s">
        <v>32</v>
      </c>
      <c r="H16" s="11">
        <v>14520</v>
      </c>
      <c r="I16" s="9"/>
    </row>
    <row r="17" spans="1:9" x14ac:dyDescent="0.25">
      <c r="A17">
        <f t="shared" si="0"/>
        <v>6</v>
      </c>
      <c r="B17">
        <f t="shared" si="1"/>
        <v>6</v>
      </c>
      <c r="C17" s="1">
        <v>45083</v>
      </c>
      <c r="D17" t="s">
        <v>36</v>
      </c>
      <c r="E17" t="s">
        <v>22</v>
      </c>
      <c r="F17" t="s">
        <v>27</v>
      </c>
      <c r="G17" t="s">
        <v>23</v>
      </c>
      <c r="H17" s="11">
        <v>41000</v>
      </c>
      <c r="I17" s="9"/>
    </row>
    <row r="18" spans="1:9" x14ac:dyDescent="0.25">
      <c r="A18">
        <f t="shared" si="0"/>
        <v>18</v>
      </c>
      <c r="B18">
        <f t="shared" si="1"/>
        <v>6</v>
      </c>
      <c r="C18" s="1">
        <v>45095</v>
      </c>
      <c r="D18" t="s">
        <v>21</v>
      </c>
      <c r="E18" t="s">
        <v>37</v>
      </c>
      <c r="F18" t="s">
        <v>27</v>
      </c>
      <c r="G18" t="s">
        <v>23</v>
      </c>
      <c r="H18" s="11">
        <v>74000</v>
      </c>
      <c r="I18" s="9"/>
    </row>
    <row r="19" spans="1:9" x14ac:dyDescent="0.25">
      <c r="A19">
        <f t="shared" si="0"/>
        <v>22</v>
      </c>
      <c r="B19">
        <f t="shared" si="1"/>
        <v>6</v>
      </c>
      <c r="C19" s="1">
        <v>45099</v>
      </c>
      <c r="D19" t="s">
        <v>36</v>
      </c>
      <c r="E19" t="s">
        <v>37</v>
      </c>
      <c r="F19" t="s">
        <v>27</v>
      </c>
      <c r="G19" t="s">
        <v>38</v>
      </c>
      <c r="H19" s="11">
        <v>52000</v>
      </c>
      <c r="I19" s="9"/>
    </row>
    <row r="20" spans="1:9" x14ac:dyDescent="0.25">
      <c r="A20">
        <f t="shared" si="0"/>
        <v>30</v>
      </c>
      <c r="B20">
        <f t="shared" si="1"/>
        <v>6</v>
      </c>
      <c r="C20" s="1">
        <v>45107</v>
      </c>
      <c r="D20" t="s">
        <v>36</v>
      </c>
      <c r="E20" t="s">
        <v>37</v>
      </c>
      <c r="F20" t="s">
        <v>27</v>
      </c>
      <c r="G20" t="s">
        <v>38</v>
      </c>
      <c r="H20" s="11">
        <v>63000</v>
      </c>
      <c r="I20" s="9"/>
    </row>
    <row r="21" spans="1:9" x14ac:dyDescent="0.25">
      <c r="A21">
        <f t="shared" si="0"/>
        <v>4</v>
      </c>
      <c r="B21">
        <f t="shared" si="1"/>
        <v>7</v>
      </c>
      <c r="C21" s="1">
        <v>45111</v>
      </c>
      <c r="D21" t="s">
        <v>18</v>
      </c>
      <c r="E21" t="s">
        <v>11</v>
      </c>
      <c r="F21" t="s">
        <v>27</v>
      </c>
      <c r="G21" t="s">
        <v>38</v>
      </c>
      <c r="H21" s="11">
        <v>77400</v>
      </c>
      <c r="I21" s="9"/>
    </row>
    <row r="22" spans="1:9" x14ac:dyDescent="0.25">
      <c r="A22">
        <f t="shared" si="0"/>
        <v>20</v>
      </c>
      <c r="B22">
        <f t="shared" si="1"/>
        <v>7</v>
      </c>
      <c r="C22" s="1">
        <v>45127</v>
      </c>
      <c r="D22" t="s">
        <v>36</v>
      </c>
      <c r="E22" t="s">
        <v>34</v>
      </c>
      <c r="F22" t="s">
        <v>27</v>
      </c>
      <c r="G22" t="s">
        <v>23</v>
      </c>
      <c r="H22" s="11">
        <v>3600</v>
      </c>
      <c r="I22" s="9"/>
    </row>
    <row r="23" spans="1:9" x14ac:dyDescent="0.25">
      <c r="I23" s="14"/>
    </row>
  </sheetData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2026-05-06T11:11:06Z</dcterms:created>
  <dcterms:modified xsi:type="dcterms:W3CDTF">2026-05-06T11:21:38Z</dcterms:modified>
</cp:coreProperties>
</file>